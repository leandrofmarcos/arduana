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 xml:space="preserve">文件名命名格式：
入仓号-收货人-件数-送货城市-重量-体积
如：XXXXXXXXXXX-AAA-X CTN-GZ-XX KG-XX CBM
</t>
        </r>
      </text>
    </comment>
  </commentList>
</comments>
</file>

<file path=xl/sharedStrings.xml><?xml version="1.0" encoding="utf-8"?>
<sst xmlns="http://schemas.openxmlformats.org/spreadsheetml/2006/main" count="143" uniqueCount="108">
  <si>
    <t xml:space="preserve">为更好服务客户，请按此模板做装箱清单，不允许修改格式！感谢您的配合！
Pls full this packing list in format
</t>
  </si>
  <si>
    <t xml:space="preserve">入仓号（our warehouse code)：xxxx
</t>
  </si>
  <si>
    <t>箱号
Carton No.</t>
  </si>
  <si>
    <t>中文品名
product name</t>
  </si>
  <si>
    <t>英文品名
product name</t>
  </si>
  <si>
    <t>品牌
LOGO/BAND</t>
  </si>
  <si>
    <t>入仓号</t>
  </si>
  <si>
    <t>产品型号
Model description</t>
  </si>
  <si>
    <t>箱数
Carton(s)</t>
  </si>
  <si>
    <t>单箱件数
pcs/ctn</t>
  </si>
  <si>
    <t>单箱净重（KG)</t>
  </si>
  <si>
    <t>单箱毛重
(KG)</t>
  </si>
  <si>
    <t>总净重(KG)
total
tare
weight</t>
  </si>
  <si>
    <t>总毛重(KG)
total weight</t>
  </si>
  <si>
    <t>外箱尺寸(CM)
Size</t>
  </si>
  <si>
    <t>单位体积(CBM)
Unit volume</t>
  </si>
  <si>
    <t xml:space="preserve">总体积(CBM)
total
volume </t>
  </si>
  <si>
    <t>材质
material</t>
  </si>
  <si>
    <t>产品图片
product picture</t>
  </si>
  <si>
    <t>外箱图片
  （含有信息的）</t>
  </si>
  <si>
    <t>机器条码
（货物是机器的填写）</t>
  </si>
  <si>
    <t>备注
remarks</t>
  </si>
  <si>
    <t>1</t>
  </si>
  <si>
    <t>厨房油烟机高温蒸汽清洗机</t>
  </si>
  <si>
    <t xml:space="preserve">High-temperature Steam Cleaner for Kitchen Range Hoods
</t>
  </si>
  <si>
    <t>白色110V（包邮）</t>
  </si>
  <si>
    <t>塑料外壳+合金</t>
  </si>
  <si>
    <t>2</t>
  </si>
  <si>
    <t>红色110V（包邮）</t>
  </si>
  <si>
    <t>3</t>
  </si>
  <si>
    <t>白色220V（包邮）</t>
  </si>
  <si>
    <t>4</t>
  </si>
  <si>
    <t>红色220V（包邮）</t>
  </si>
  <si>
    <t>5</t>
  </si>
  <si>
    <t>插针式理疗电极片</t>
  </si>
  <si>
    <t>Pin-type Physiotherapy Electrode Pads</t>
  </si>
  <si>
    <t>2.0尾线</t>
  </si>
  <si>
    <t>无纺布</t>
  </si>
  <si>
    <t>6</t>
  </si>
  <si>
    <t>足下垂内外翻拉伸矫正器</t>
  </si>
  <si>
    <t>Drop Foot Varus and Valgus Stretching Orthosis</t>
  </si>
  <si>
    <t>黑色</t>
  </si>
  <si>
    <t>复合布</t>
  </si>
  <si>
    <t>7</t>
  </si>
  <si>
    <t>2.1声道蓝牙数字功放板模块</t>
  </si>
  <si>
    <t>2.1-Channel Bluetooth Digital Power Amplifier Board Module</t>
  </si>
  <si>
    <t>MT21</t>
  </si>
  <si>
    <t>玻纤材质</t>
  </si>
  <si>
    <t>8</t>
  </si>
  <si>
    <t xml:space="preserve">塑料保险杠修复焊枪 </t>
  </si>
  <si>
    <t>Plastic Bumper Repair Welding Gun</t>
  </si>
  <si>
    <t>红色</t>
  </si>
  <si>
    <t>ABS+纯铜</t>
  </si>
  <si>
    <t>9</t>
  </si>
  <si>
    <t>蓝色</t>
  </si>
  <si>
    <t>10</t>
  </si>
  <si>
    <t>智能可视白色分体耳勺+8件套</t>
  </si>
  <si>
    <t>Smart Visual White Split-type Ear Spoon + 8-Piece Set</t>
  </si>
  <si>
    <t>白色</t>
  </si>
  <si>
    <t>ABS材质外壳+304不锈钢管+PC勺头柄+硅胶耳勺头</t>
  </si>
  <si>
    <t>11</t>
  </si>
  <si>
    <t>智能可视黑色分体耳勺+8件套</t>
  </si>
  <si>
    <t>12</t>
  </si>
  <si>
    <t>智能可视白色分体耳勺</t>
  </si>
  <si>
    <t>Smart Visual White Split-type Ear Spoon</t>
  </si>
  <si>
    <t>13</t>
  </si>
  <si>
    <t>智能可视黑色分体耳勺</t>
  </si>
  <si>
    <t>14</t>
  </si>
  <si>
    <t>智能体重秤</t>
  </si>
  <si>
    <t>Smart Weight Scale</t>
  </si>
  <si>
    <t>充电款</t>
  </si>
  <si>
    <t>塑料+钢化玻璃</t>
  </si>
  <si>
    <t>15</t>
  </si>
  <si>
    <t>体脂秤</t>
  </si>
  <si>
    <t>Body Fat Scale</t>
  </si>
  <si>
    <t>16</t>
  </si>
  <si>
    <t>缝纫机紫色</t>
  </si>
  <si>
    <t>Purple Sewing Machine</t>
  </si>
  <si>
    <t>紫色</t>
  </si>
  <si>
    <t>塑料</t>
  </si>
  <si>
    <t>17</t>
  </si>
  <si>
    <t>缝纫机蓝色</t>
  </si>
  <si>
    <t>Blue Sewing Machine</t>
  </si>
  <si>
    <t>18</t>
  </si>
  <si>
    <t>红色缝纫机+针线盒</t>
  </si>
  <si>
    <t>Red Sewing Machine + Sewing Kit</t>
  </si>
  <si>
    <t>19</t>
  </si>
  <si>
    <t>红色缝纫机+板+针线盒</t>
  </si>
  <si>
    <t>Red Sewing Machine + Sewing Table + Sewing Kit</t>
  </si>
  <si>
    <t>20</t>
  </si>
  <si>
    <t>蓝色缝纫机+针线盒</t>
  </si>
  <si>
    <t>Blue Sewing Machine + Sewing Kit</t>
  </si>
  <si>
    <t>21</t>
  </si>
  <si>
    <t>蓝色缝纫机+板+针线盒</t>
  </si>
  <si>
    <t>Blue Sewing Machine + Sewing Table + Sewing Kit</t>
  </si>
  <si>
    <t>22</t>
  </si>
  <si>
    <t>缝纫机配件-铁艺
剪刀-金色</t>
  </si>
  <si>
    <t>Sewing Machine Accessory - Iron Art Scissors (Gold)</t>
  </si>
  <si>
    <t>/</t>
  </si>
  <si>
    <t>出货才给箱规</t>
  </si>
  <si>
    <t>铸铁</t>
  </si>
  <si>
    <t>23</t>
  </si>
  <si>
    <t>板</t>
  </si>
  <si>
    <t>Sewing Table</t>
  </si>
  <si>
    <t>24</t>
  </si>
  <si>
    <t>缝纫机配件</t>
  </si>
  <si>
    <t>Sewing Machine Accessories</t>
  </si>
  <si>
    <t>不锈钢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</si>
</sst>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8"/>
      <name val="宋体"/>
      <charset val="134"/>
      <scheme val="minor"/>
    </font>
    <font>
      <sz val="20"/>
      <color rgb="FF000000"/>
      <name val="等线"/>
      <charset val="134"/>
    </font>
    <font>
      <sz val="2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3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51">
    <xf numFmtId="0" fontId="0" fillId="0" borderId="0" xfId="0"/>
    <xf numFmtId="0" fontId="0" fillId="0" borderId="1" xfId="0" applyBorder="1" applyProtection="1"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 applyProtection="1">
      <alignment wrapText="1"/>
      <protection locked="0"/>
    </xf>
    <xf numFmtId="0" fontId="1" fillId="0" borderId="1" xfId="0" applyFont="1" applyFill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49" fontId="3" fillId="0" borderId="1" xfId="0" applyNumberFormat="1" applyFont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1" xfId="0" applyNumberFormat="1" applyFont="1" applyBorder="1" applyAlignment="1" applyProtection="1">
      <alignment horizontal="center" wrapText="1"/>
      <protection locked="0"/>
    </xf>
    <xf numFmtId="0" fontId="3" fillId="0" borderId="1" xfId="0" applyNumberFormat="1" applyFont="1" applyBorder="1" applyAlignment="1" applyProtection="1">
      <alignment horizontal="center" wrapText="1"/>
    </xf>
    <xf numFmtId="49" fontId="4" fillId="0" borderId="2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wrapText="1"/>
    </xf>
    <xf numFmtId="49" fontId="4" fillId="0" borderId="4" xfId="0" applyNumberFormat="1" applyFont="1" applyFill="1" applyBorder="1" applyAlignment="1" applyProtection="1">
      <alignment horizontal="center" wrapText="1"/>
    </xf>
    <xf numFmtId="49" fontId="4" fillId="0" borderId="1" xfId="0" applyNumberFormat="1" applyFont="1" applyFill="1" applyBorder="1" applyAlignment="1" applyProtection="1">
      <alignment horizontal="center" wrapText="1"/>
      <protection locked="0"/>
    </xf>
    <xf numFmtId="0" fontId="4" fillId="0" borderId="1" xfId="0" applyFont="1" applyFill="1" applyBorder="1" applyAlignment="1" applyProtection="1">
      <alignment horizontal="center" wrapText="1"/>
      <protection locked="0"/>
    </xf>
    <xf numFmtId="0" fontId="4" fillId="0" borderId="1" xfId="0" applyNumberFormat="1" applyFont="1" applyFill="1" applyBorder="1" applyAlignment="1" applyProtection="1">
      <alignment horizontal="center" wrapText="1"/>
      <protection locked="0"/>
    </xf>
    <xf numFmtId="0" fontId="4" fillId="0" borderId="1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center" wrapText="1"/>
    </xf>
    <xf numFmtId="49" fontId="1" fillId="0" borderId="3" xfId="0" applyNumberFormat="1" applyFont="1" applyBorder="1" applyAlignment="1">
      <alignment vertical="center" wrapText="1"/>
    </xf>
    <xf numFmtId="49" fontId="1" fillId="0" borderId="1" xfId="0" applyNumberFormat="1" applyFont="1" applyBorder="1" applyAlignment="1" applyProtection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wrapText="1"/>
      <protection locked="0"/>
    </xf>
    <xf numFmtId="0" fontId="5" fillId="0" borderId="5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/>
    </xf>
    <xf numFmtId="0" fontId="5" fillId="0" borderId="8" xfId="0" applyNumberFormat="1" applyFont="1" applyFill="1" applyBorder="1" applyAlignment="1">
      <alignment horizontal="center" vertical="center"/>
    </xf>
    <xf numFmtId="0" fontId="6" fillId="0" borderId="9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/>
    </xf>
    <xf numFmtId="0" fontId="6" fillId="0" borderId="7" xfId="0" applyFont="1" applyFill="1" applyBorder="1" applyAlignment="1">
      <alignment vertical="center" wrapText="1"/>
    </xf>
    <xf numFmtId="49" fontId="1" fillId="0" borderId="1" xfId="0" applyNumberFormat="1" applyFont="1" applyBorder="1" applyAlignment="1" applyProtection="1">
      <alignment horizontal="center" wrapText="1"/>
      <protection locked="0"/>
    </xf>
    <xf numFmtId="0" fontId="1" fillId="0" borderId="1" xfId="0" applyNumberFormat="1" applyFont="1" applyBorder="1" applyAlignment="1" applyProtection="1">
      <alignment horizontal="center" wrapText="1"/>
      <protection locked="0"/>
    </xf>
    <xf numFmtId="0" fontId="1" fillId="0" borderId="1" xfId="0" applyNumberFormat="1" applyFont="1" applyBorder="1" applyAlignment="1" applyProtection="1">
      <alignment horizontal="center" wrapText="1"/>
    </xf>
    <xf numFmtId="49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NumberFormat="1" applyFont="1" applyBorder="1" applyAlignment="1" applyProtection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290830</xdr:colOff>
      <xdr:row>4</xdr:row>
      <xdr:rowOff>18415</xdr:rowOff>
    </xdr:from>
    <xdr:to>
      <xdr:col>18</xdr:col>
      <xdr:colOff>1419225</xdr:colOff>
      <xdr:row>4</xdr:row>
      <xdr:rowOff>608965</xdr:rowOff>
    </xdr:to>
    <xdr:pic>
      <xdr:nvPicPr>
        <xdr:cNvPr id="2" name="ID_1EEA07AC6BC34513B992516F735791C0" descr="post_object_image_2052287538"/>
        <xdr:cNvPicPr/>
      </xdr:nvPicPr>
      <xdr:blipFill>
        <a:blip r:embed="rId1"/>
        <a:srcRect/>
        <a:stretch>
          <a:fillRect/>
        </a:stretch>
      </xdr:blipFill>
      <xdr:spPr>
        <a:xfrm>
          <a:off x="24718645" y="4399915"/>
          <a:ext cx="1128395" cy="5905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286385</xdr:colOff>
      <xdr:row>3</xdr:row>
      <xdr:rowOff>18415</xdr:rowOff>
    </xdr:from>
    <xdr:to>
      <xdr:col>18</xdr:col>
      <xdr:colOff>1265555</xdr:colOff>
      <xdr:row>3</xdr:row>
      <xdr:rowOff>621665</xdr:rowOff>
    </xdr:to>
    <xdr:pic>
      <xdr:nvPicPr>
        <xdr:cNvPr id="3" name="ID_814F6020AC5A400EAB7431C60E8DBBD0" descr="post_object_image_130486174"/>
        <xdr:cNvPicPr/>
      </xdr:nvPicPr>
      <xdr:blipFill>
        <a:blip r:embed="rId2"/>
        <a:srcRect/>
        <a:stretch>
          <a:fillRect/>
        </a:stretch>
      </xdr:blipFill>
      <xdr:spPr>
        <a:xfrm>
          <a:off x="24714200" y="3764915"/>
          <a:ext cx="979170" cy="6032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308610</xdr:colOff>
      <xdr:row>5</xdr:row>
      <xdr:rowOff>11430</xdr:rowOff>
    </xdr:from>
    <xdr:to>
      <xdr:col>18</xdr:col>
      <xdr:colOff>1327150</xdr:colOff>
      <xdr:row>5</xdr:row>
      <xdr:rowOff>541655</xdr:rowOff>
    </xdr:to>
    <xdr:pic>
      <xdr:nvPicPr>
        <xdr:cNvPr id="4" name="ID_32850373C99F421E8F6556518F529079" descr="post_object_image_1036735605"/>
        <xdr:cNvPicPr/>
      </xdr:nvPicPr>
      <xdr:blipFill>
        <a:blip r:embed="rId1"/>
        <a:srcRect/>
        <a:stretch>
          <a:fillRect/>
        </a:stretch>
      </xdr:blipFill>
      <xdr:spPr>
        <a:xfrm>
          <a:off x="24736425" y="5027930"/>
          <a:ext cx="1018540" cy="53022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309880</xdr:colOff>
      <xdr:row>6</xdr:row>
      <xdr:rowOff>11430</xdr:rowOff>
    </xdr:from>
    <xdr:to>
      <xdr:col>18</xdr:col>
      <xdr:colOff>1234440</xdr:colOff>
      <xdr:row>6</xdr:row>
      <xdr:rowOff>523875</xdr:rowOff>
    </xdr:to>
    <xdr:pic>
      <xdr:nvPicPr>
        <xdr:cNvPr id="5" name="ID_F52524DC1D144BD79B8D9B792B294971" descr="post_object_image_1555309047"/>
        <xdr:cNvPicPr/>
      </xdr:nvPicPr>
      <xdr:blipFill>
        <a:blip r:embed="rId2"/>
        <a:srcRect/>
        <a:stretch>
          <a:fillRect/>
        </a:stretch>
      </xdr:blipFill>
      <xdr:spPr>
        <a:xfrm>
          <a:off x="24737695" y="5662930"/>
          <a:ext cx="924560" cy="51244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311150</xdr:colOff>
      <xdr:row>7</xdr:row>
      <xdr:rowOff>12065</xdr:rowOff>
    </xdr:from>
    <xdr:to>
      <xdr:col>18</xdr:col>
      <xdr:colOff>1195705</xdr:colOff>
      <xdr:row>7</xdr:row>
      <xdr:rowOff>579120</xdr:rowOff>
    </xdr:to>
    <xdr:pic>
      <xdr:nvPicPr>
        <xdr:cNvPr id="6" name="ID_2292D58E0D154C89A35B7848580C8AA8" descr="post_object_image_343905249"/>
        <xdr:cNvPicPr/>
      </xdr:nvPicPr>
      <xdr:blipFill>
        <a:blip r:embed="rId3"/>
        <a:srcRect/>
        <a:stretch>
          <a:fillRect/>
        </a:stretch>
      </xdr:blipFill>
      <xdr:spPr>
        <a:xfrm>
          <a:off x="24738965" y="6298565"/>
          <a:ext cx="884555" cy="56705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314325</xdr:colOff>
      <xdr:row>8</xdr:row>
      <xdr:rowOff>12065</xdr:rowOff>
    </xdr:from>
    <xdr:to>
      <xdr:col>18</xdr:col>
      <xdr:colOff>1118870</xdr:colOff>
      <xdr:row>8</xdr:row>
      <xdr:rowOff>561340</xdr:rowOff>
    </xdr:to>
    <xdr:pic>
      <xdr:nvPicPr>
        <xdr:cNvPr id="7" name="ID_9345E0A1E9554FD3BFB3B93F1E9C2A00" descr="post_object_image_739011944"/>
        <xdr:cNvPicPr/>
      </xdr:nvPicPr>
      <xdr:blipFill>
        <a:blip r:embed="rId4"/>
        <a:srcRect/>
        <a:stretch>
          <a:fillRect/>
        </a:stretch>
      </xdr:blipFill>
      <xdr:spPr>
        <a:xfrm>
          <a:off x="24742140" y="6933565"/>
          <a:ext cx="804545" cy="5492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314960</xdr:colOff>
      <xdr:row>9</xdr:row>
      <xdr:rowOff>11430</xdr:rowOff>
    </xdr:from>
    <xdr:to>
      <xdr:col>18</xdr:col>
      <xdr:colOff>1136650</xdr:colOff>
      <xdr:row>9</xdr:row>
      <xdr:rowOff>541655</xdr:rowOff>
    </xdr:to>
    <xdr:pic>
      <xdr:nvPicPr>
        <xdr:cNvPr id="8" name="ID_9F06DB6A7A60418A82D8C3CD7A039A5A" descr="post_object_image_605959107"/>
        <xdr:cNvPicPr/>
      </xdr:nvPicPr>
      <xdr:blipFill>
        <a:blip r:embed="rId5"/>
        <a:srcRect/>
        <a:stretch>
          <a:fillRect/>
        </a:stretch>
      </xdr:blipFill>
      <xdr:spPr>
        <a:xfrm>
          <a:off x="24742775" y="7567930"/>
          <a:ext cx="821690" cy="53022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312420</xdr:colOff>
      <xdr:row>10</xdr:row>
      <xdr:rowOff>11430</xdr:rowOff>
    </xdr:from>
    <xdr:to>
      <xdr:col>18</xdr:col>
      <xdr:colOff>1065530</xdr:colOff>
      <xdr:row>10</xdr:row>
      <xdr:rowOff>560705</xdr:rowOff>
    </xdr:to>
    <xdr:pic>
      <xdr:nvPicPr>
        <xdr:cNvPr id="9" name="ID_316E5C812EB245BEB5E792CC4336CECF" descr="post_object_image_3987393334"/>
        <xdr:cNvPicPr/>
      </xdr:nvPicPr>
      <xdr:blipFill>
        <a:blip r:embed="rId6"/>
        <a:srcRect/>
        <a:stretch>
          <a:fillRect/>
        </a:stretch>
      </xdr:blipFill>
      <xdr:spPr>
        <a:xfrm>
          <a:off x="24740235" y="8202930"/>
          <a:ext cx="753110" cy="5492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315595</xdr:colOff>
      <xdr:row>11</xdr:row>
      <xdr:rowOff>12065</xdr:rowOff>
    </xdr:from>
    <xdr:to>
      <xdr:col>18</xdr:col>
      <xdr:colOff>1137285</xdr:colOff>
      <xdr:row>11</xdr:row>
      <xdr:rowOff>561340</xdr:rowOff>
    </xdr:to>
    <xdr:pic>
      <xdr:nvPicPr>
        <xdr:cNvPr id="10" name="ID_1CA8E75476C243CFBFD32785CCBC1B56" descr="post_object_image_3398036410"/>
        <xdr:cNvPicPr/>
      </xdr:nvPicPr>
      <xdr:blipFill>
        <a:blip r:embed="rId7"/>
        <a:srcRect/>
        <a:stretch>
          <a:fillRect/>
        </a:stretch>
      </xdr:blipFill>
      <xdr:spPr>
        <a:xfrm>
          <a:off x="24743410" y="8838565"/>
          <a:ext cx="821690" cy="5492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314325</xdr:colOff>
      <xdr:row>12</xdr:row>
      <xdr:rowOff>12065</xdr:rowOff>
    </xdr:from>
    <xdr:to>
      <xdr:col>18</xdr:col>
      <xdr:colOff>1155065</xdr:colOff>
      <xdr:row>12</xdr:row>
      <xdr:rowOff>560070</xdr:rowOff>
    </xdr:to>
    <xdr:pic>
      <xdr:nvPicPr>
        <xdr:cNvPr id="11" name="ID_A86BF80020254810AFD339F98338DC0B" descr="post_object_image_2854917677"/>
        <xdr:cNvPicPr/>
      </xdr:nvPicPr>
      <xdr:blipFill>
        <a:blip r:embed="rId8"/>
        <a:srcRect/>
        <a:stretch>
          <a:fillRect/>
        </a:stretch>
      </xdr:blipFill>
      <xdr:spPr>
        <a:xfrm>
          <a:off x="24742140" y="9473565"/>
          <a:ext cx="840740" cy="54800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311785</xdr:colOff>
      <xdr:row>13</xdr:row>
      <xdr:rowOff>11430</xdr:rowOff>
    </xdr:from>
    <xdr:to>
      <xdr:col>18</xdr:col>
      <xdr:colOff>1123315</xdr:colOff>
      <xdr:row>13</xdr:row>
      <xdr:rowOff>597535</xdr:rowOff>
    </xdr:to>
    <xdr:pic>
      <xdr:nvPicPr>
        <xdr:cNvPr id="12" name="ID_15B4F4260AB04553907F1B7B92BFB171" descr="post_object_image_1642207764"/>
        <xdr:cNvPicPr/>
      </xdr:nvPicPr>
      <xdr:blipFill>
        <a:blip r:embed="rId9"/>
        <a:srcRect/>
        <a:stretch>
          <a:fillRect/>
        </a:stretch>
      </xdr:blipFill>
      <xdr:spPr>
        <a:xfrm>
          <a:off x="24739600" y="10107930"/>
          <a:ext cx="811530" cy="58610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315595</xdr:colOff>
      <xdr:row>14</xdr:row>
      <xdr:rowOff>11430</xdr:rowOff>
    </xdr:from>
    <xdr:to>
      <xdr:col>18</xdr:col>
      <xdr:colOff>1064260</xdr:colOff>
      <xdr:row>14</xdr:row>
      <xdr:rowOff>578485</xdr:rowOff>
    </xdr:to>
    <xdr:pic>
      <xdr:nvPicPr>
        <xdr:cNvPr id="13" name="ID_0406B3E620C64F89842DFE142EEA81DC" descr="post_object_image_3905318567"/>
        <xdr:cNvPicPr/>
      </xdr:nvPicPr>
      <xdr:blipFill>
        <a:blip r:embed="rId10"/>
        <a:srcRect/>
        <a:stretch>
          <a:fillRect/>
        </a:stretch>
      </xdr:blipFill>
      <xdr:spPr>
        <a:xfrm>
          <a:off x="24743410" y="10742930"/>
          <a:ext cx="748665" cy="56705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319405</xdr:colOff>
      <xdr:row>15</xdr:row>
      <xdr:rowOff>12065</xdr:rowOff>
    </xdr:from>
    <xdr:to>
      <xdr:col>18</xdr:col>
      <xdr:colOff>1040765</xdr:colOff>
      <xdr:row>15</xdr:row>
      <xdr:rowOff>505460</xdr:rowOff>
    </xdr:to>
    <xdr:pic>
      <xdr:nvPicPr>
        <xdr:cNvPr id="14" name="ID_88470856A168450199B0D43101F29602" descr="post_object_image_754042742"/>
        <xdr:cNvPicPr/>
      </xdr:nvPicPr>
      <xdr:blipFill>
        <a:blip r:embed="rId11"/>
        <a:srcRect/>
        <a:stretch>
          <a:fillRect/>
        </a:stretch>
      </xdr:blipFill>
      <xdr:spPr>
        <a:xfrm>
          <a:off x="24747220" y="11378565"/>
          <a:ext cx="721360" cy="4933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319405</xdr:colOff>
      <xdr:row>16</xdr:row>
      <xdr:rowOff>12065</xdr:rowOff>
    </xdr:from>
    <xdr:to>
      <xdr:col>18</xdr:col>
      <xdr:colOff>1022985</xdr:colOff>
      <xdr:row>16</xdr:row>
      <xdr:rowOff>579120</xdr:rowOff>
    </xdr:to>
    <xdr:pic>
      <xdr:nvPicPr>
        <xdr:cNvPr id="15" name="ID_328F14C0B3024B3B9465928464A46D68" descr="post_object_image_3121665554"/>
        <xdr:cNvPicPr/>
      </xdr:nvPicPr>
      <xdr:blipFill>
        <a:blip r:embed="rId12"/>
        <a:srcRect/>
        <a:stretch>
          <a:fillRect/>
        </a:stretch>
      </xdr:blipFill>
      <xdr:spPr>
        <a:xfrm>
          <a:off x="24747220" y="12013565"/>
          <a:ext cx="703580" cy="56705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315595</xdr:colOff>
      <xdr:row>17</xdr:row>
      <xdr:rowOff>12065</xdr:rowOff>
    </xdr:from>
    <xdr:to>
      <xdr:col>18</xdr:col>
      <xdr:colOff>1008380</xdr:colOff>
      <xdr:row>17</xdr:row>
      <xdr:rowOff>524510</xdr:rowOff>
    </xdr:to>
    <xdr:pic>
      <xdr:nvPicPr>
        <xdr:cNvPr id="16" name="ID_2823E5BBAFE14CFA8B6F9F7FBE69B555" descr="post_object_image_608411435"/>
        <xdr:cNvPicPr/>
      </xdr:nvPicPr>
      <xdr:blipFill>
        <a:blip r:embed="rId13"/>
        <a:srcRect/>
        <a:stretch>
          <a:fillRect/>
        </a:stretch>
      </xdr:blipFill>
      <xdr:spPr>
        <a:xfrm>
          <a:off x="24743410" y="12648565"/>
          <a:ext cx="692785" cy="51244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312420</xdr:colOff>
      <xdr:row>18</xdr:row>
      <xdr:rowOff>11430</xdr:rowOff>
    </xdr:from>
    <xdr:to>
      <xdr:col>18</xdr:col>
      <xdr:colOff>1083945</xdr:colOff>
      <xdr:row>19</xdr:row>
      <xdr:rowOff>10160</xdr:rowOff>
    </xdr:to>
    <xdr:pic>
      <xdr:nvPicPr>
        <xdr:cNvPr id="17" name="ID_62B24CB98C87423194AF730FEA1E5C32" descr="post_object_image_2203889850"/>
        <xdr:cNvPicPr/>
      </xdr:nvPicPr>
      <xdr:blipFill>
        <a:blip r:embed="rId14"/>
        <a:srcRect/>
        <a:stretch>
          <a:fillRect/>
        </a:stretch>
      </xdr:blipFill>
      <xdr:spPr>
        <a:xfrm>
          <a:off x="24740235" y="13282930"/>
          <a:ext cx="771525" cy="63373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311150</xdr:colOff>
      <xdr:row>19</xdr:row>
      <xdr:rowOff>11430</xdr:rowOff>
    </xdr:from>
    <xdr:to>
      <xdr:col>18</xdr:col>
      <xdr:colOff>1067435</xdr:colOff>
      <xdr:row>19</xdr:row>
      <xdr:rowOff>541655</xdr:rowOff>
    </xdr:to>
    <xdr:pic>
      <xdr:nvPicPr>
        <xdr:cNvPr id="18" name="ID_DEE4D618C67D4C378F97F786826E59E5" descr="post_object_image_815920439"/>
        <xdr:cNvPicPr/>
      </xdr:nvPicPr>
      <xdr:blipFill>
        <a:blip r:embed="rId15"/>
        <a:srcRect/>
        <a:stretch>
          <a:fillRect/>
        </a:stretch>
      </xdr:blipFill>
      <xdr:spPr>
        <a:xfrm>
          <a:off x="24738965" y="13917930"/>
          <a:ext cx="756285" cy="53022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314960</xdr:colOff>
      <xdr:row>20</xdr:row>
      <xdr:rowOff>12065</xdr:rowOff>
    </xdr:from>
    <xdr:to>
      <xdr:col>18</xdr:col>
      <xdr:colOff>1082040</xdr:colOff>
      <xdr:row>20</xdr:row>
      <xdr:rowOff>579120</xdr:rowOff>
    </xdr:to>
    <xdr:pic>
      <xdr:nvPicPr>
        <xdr:cNvPr id="19" name="ID_E1E3665C12DF45EDB9E5E8AC72E6BF78" descr="post_object_image_225760034"/>
        <xdr:cNvPicPr/>
      </xdr:nvPicPr>
      <xdr:blipFill>
        <a:blip r:embed="rId16"/>
        <a:srcRect/>
        <a:stretch>
          <a:fillRect/>
        </a:stretch>
      </xdr:blipFill>
      <xdr:spPr>
        <a:xfrm>
          <a:off x="24742775" y="14553565"/>
          <a:ext cx="767080" cy="56705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313690</xdr:colOff>
      <xdr:row>21</xdr:row>
      <xdr:rowOff>12065</xdr:rowOff>
    </xdr:from>
    <xdr:to>
      <xdr:col>18</xdr:col>
      <xdr:colOff>1029970</xdr:colOff>
      <xdr:row>21</xdr:row>
      <xdr:rowOff>598170</xdr:rowOff>
    </xdr:to>
    <xdr:pic>
      <xdr:nvPicPr>
        <xdr:cNvPr id="20" name="ID_B6E8FF18AE2A4AD69AF9E32B6708EC13" descr="post_object_image_1807856611"/>
        <xdr:cNvPicPr/>
      </xdr:nvPicPr>
      <xdr:blipFill>
        <a:blip r:embed="rId17"/>
        <a:srcRect/>
        <a:stretch>
          <a:fillRect/>
        </a:stretch>
      </xdr:blipFill>
      <xdr:spPr>
        <a:xfrm>
          <a:off x="24741505" y="15188565"/>
          <a:ext cx="716280" cy="58610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260985</xdr:colOff>
      <xdr:row>22</xdr:row>
      <xdr:rowOff>11430</xdr:rowOff>
    </xdr:from>
    <xdr:to>
      <xdr:col>18</xdr:col>
      <xdr:colOff>898525</xdr:colOff>
      <xdr:row>22</xdr:row>
      <xdr:rowOff>505460</xdr:rowOff>
    </xdr:to>
    <xdr:pic>
      <xdr:nvPicPr>
        <xdr:cNvPr id="21" name="ID_246E67C1A9FA47708392A6253C05523A" descr="post_object_image_1951528140"/>
        <xdr:cNvPicPr/>
      </xdr:nvPicPr>
      <xdr:blipFill>
        <a:blip r:embed="rId18"/>
        <a:srcRect/>
        <a:stretch>
          <a:fillRect/>
        </a:stretch>
      </xdr:blipFill>
      <xdr:spPr>
        <a:xfrm>
          <a:off x="24688800" y="15822930"/>
          <a:ext cx="637540" cy="49403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258445</xdr:colOff>
      <xdr:row>23</xdr:row>
      <xdr:rowOff>11430</xdr:rowOff>
    </xdr:from>
    <xdr:to>
      <xdr:col>18</xdr:col>
      <xdr:colOff>972820</xdr:colOff>
      <xdr:row>23</xdr:row>
      <xdr:rowOff>523875</xdr:rowOff>
    </xdr:to>
    <xdr:pic>
      <xdr:nvPicPr>
        <xdr:cNvPr id="22" name="ID_8FFB03849CCB4B42BE70CA0D68998625" descr="post_object_image_1043283442"/>
        <xdr:cNvPicPr/>
      </xdr:nvPicPr>
      <xdr:blipFill>
        <a:blip r:embed="rId19"/>
        <a:srcRect/>
        <a:stretch>
          <a:fillRect/>
        </a:stretch>
      </xdr:blipFill>
      <xdr:spPr>
        <a:xfrm>
          <a:off x="24686260" y="16457930"/>
          <a:ext cx="714375" cy="51244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315595</xdr:colOff>
      <xdr:row>24</xdr:row>
      <xdr:rowOff>12065</xdr:rowOff>
    </xdr:from>
    <xdr:to>
      <xdr:col>18</xdr:col>
      <xdr:colOff>1007745</xdr:colOff>
      <xdr:row>24</xdr:row>
      <xdr:rowOff>487045</xdr:rowOff>
    </xdr:to>
    <xdr:pic>
      <xdr:nvPicPr>
        <xdr:cNvPr id="23" name="ID_5FC7D6016A804D59BB832529B15107E7" descr="post_object_image_2701838287"/>
        <xdr:cNvPicPr/>
      </xdr:nvPicPr>
      <xdr:blipFill>
        <a:blip r:embed="rId20"/>
        <a:srcRect/>
        <a:stretch>
          <a:fillRect/>
        </a:stretch>
      </xdr:blipFill>
      <xdr:spPr>
        <a:xfrm>
          <a:off x="24743410" y="17093565"/>
          <a:ext cx="692150" cy="47498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315595</xdr:colOff>
      <xdr:row>25</xdr:row>
      <xdr:rowOff>12065</xdr:rowOff>
    </xdr:from>
    <xdr:to>
      <xdr:col>18</xdr:col>
      <xdr:colOff>1028065</xdr:colOff>
      <xdr:row>25</xdr:row>
      <xdr:rowOff>524510</xdr:rowOff>
    </xdr:to>
    <xdr:pic>
      <xdr:nvPicPr>
        <xdr:cNvPr id="24" name="ID_288A540318014789B3783E5278BB3776" descr="post_object_image_2454027595"/>
        <xdr:cNvPicPr/>
      </xdr:nvPicPr>
      <xdr:blipFill>
        <a:blip r:embed="rId21"/>
        <a:srcRect/>
        <a:stretch>
          <a:fillRect/>
        </a:stretch>
      </xdr:blipFill>
      <xdr:spPr>
        <a:xfrm>
          <a:off x="24743410" y="17728565"/>
          <a:ext cx="712470" cy="51244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313690</xdr:colOff>
      <xdr:row>26</xdr:row>
      <xdr:rowOff>11430</xdr:rowOff>
    </xdr:from>
    <xdr:to>
      <xdr:col>18</xdr:col>
      <xdr:colOff>1029970</xdr:colOff>
      <xdr:row>26</xdr:row>
      <xdr:rowOff>504825</xdr:rowOff>
    </xdr:to>
    <xdr:pic>
      <xdr:nvPicPr>
        <xdr:cNvPr id="25" name="ID_68BFE2968C064596B11C3DE64E5848D6" descr="post_object_image_2012020455"/>
        <xdr:cNvPicPr/>
      </xdr:nvPicPr>
      <xdr:blipFill>
        <a:blip r:embed="rId22"/>
        <a:srcRect/>
        <a:stretch>
          <a:fillRect/>
        </a:stretch>
      </xdr:blipFill>
      <xdr:spPr>
        <a:xfrm>
          <a:off x="24741505" y="18362930"/>
          <a:ext cx="716280" cy="49339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tabSelected="1" zoomScale="52" zoomScaleNormal="52" workbookViewId="0">
      <selection activeCell="W9" sqref="W9"/>
    </sheetView>
  </sheetViews>
  <sheetFormatPr defaultColWidth="13.625" defaultRowHeight="50" customHeight="1"/>
  <cols>
    <col min="1" max="1" width="16.2416666666667" style="7" customWidth="1"/>
    <col min="2" max="2" width="39.425" style="8" customWidth="1"/>
    <col min="3" max="3" width="24.75" style="8" customWidth="1"/>
    <col min="4" max="4" width="17.675" style="8" customWidth="1"/>
    <col min="5" max="5" width="20.3583333333333" style="8" customWidth="1"/>
    <col min="6" max="6" width="20.5333333333333" style="8" customWidth="1"/>
    <col min="7" max="10" width="13.625" style="9" customWidth="1"/>
    <col min="11" max="11" width="16.7583333333333" style="10" customWidth="1"/>
    <col min="12" max="12" width="13.625" style="10" customWidth="1"/>
    <col min="13" max="13" width="13.225" style="9" customWidth="1"/>
    <col min="14" max="14" width="12.2583333333333" style="9" customWidth="1"/>
    <col min="15" max="15" width="12.0083333333333" style="9" customWidth="1"/>
    <col min="16" max="17" width="13.625" style="10" customWidth="1"/>
    <col min="18" max="18" width="31.9666666666667" style="8" customWidth="1"/>
    <col min="19" max="19" width="23.5583333333333" style="8" customWidth="1"/>
    <col min="20" max="20" width="26.9166666666667" style="8" customWidth="1"/>
    <col min="21" max="21" width="27.1666666666667" style="8" customWidth="1"/>
    <col min="22" max="22" width="16.35" style="8" customWidth="1"/>
    <col min="23" max="16381" width="13.625" style="8" customWidth="1"/>
    <col min="16382" max="16384" width="13.625" style="8"/>
  </cols>
  <sheetData>
    <row r="1" s="1" customFormat="1" ht="126" customHeight="1" spans="1:2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</row>
    <row r="2" s="1" customFormat="1" customHeight="1" spans="1:22">
      <c r="A2" s="14" t="s">
        <v>1</v>
      </c>
      <c r="B2" s="15"/>
      <c r="C2" s="15"/>
      <c r="D2" s="15"/>
      <c r="E2" s="15"/>
      <c r="F2" s="15"/>
      <c r="G2" s="16"/>
      <c r="H2" s="16"/>
      <c r="I2" s="16"/>
      <c r="J2" s="16"/>
      <c r="K2" s="17"/>
      <c r="L2" s="17"/>
      <c r="M2" s="16"/>
      <c r="N2" s="16"/>
      <c r="O2" s="16"/>
      <c r="P2" s="17"/>
      <c r="Q2" s="17"/>
      <c r="R2" s="15"/>
      <c r="S2" s="15"/>
    </row>
    <row r="3" s="2" customFormat="1" ht="119" customHeight="1" spans="1:22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9" t="s">
        <v>10</v>
      </c>
      <c r="J3" s="20" t="s">
        <v>11</v>
      </c>
      <c r="K3" s="21" t="s">
        <v>12</v>
      </c>
      <c r="L3" s="21" t="s">
        <v>13</v>
      </c>
      <c r="M3" s="22" t="s">
        <v>14</v>
      </c>
      <c r="N3" s="23"/>
      <c r="O3" s="24"/>
      <c r="P3" s="21" t="s">
        <v>15</v>
      </c>
      <c r="Q3" s="21" t="s">
        <v>16</v>
      </c>
      <c r="R3" s="18" t="s">
        <v>17</v>
      </c>
      <c r="S3" s="18" t="s">
        <v>18</v>
      </c>
      <c r="T3" s="18" t="s">
        <v>19</v>
      </c>
      <c r="U3" s="18" t="s">
        <v>20</v>
      </c>
      <c r="V3" s="2" t="s">
        <v>21</v>
      </c>
    </row>
    <row r="4" s="3" customFormat="1" customHeight="1" spans="1:22">
      <c r="A4" s="25" t="s">
        <v>22</v>
      </c>
      <c r="B4" s="26" t="s">
        <v>23</v>
      </c>
      <c r="C4" s="26" t="s">
        <v>24</v>
      </c>
      <c r="F4" s="27" t="s">
        <v>25</v>
      </c>
      <c r="G4" s="27">
        <v>8</v>
      </c>
      <c r="H4" s="27">
        <v>90</v>
      </c>
      <c r="I4" s="27">
        <v>12.8</v>
      </c>
      <c r="J4" s="27">
        <v>15</v>
      </c>
      <c r="K4" s="28">
        <v>1152</v>
      </c>
      <c r="L4" s="28">
        <v>1350</v>
      </c>
      <c r="M4" s="27">
        <v>0.52</v>
      </c>
      <c r="N4" s="27">
        <v>0.36</v>
      </c>
      <c r="O4" s="27">
        <v>0.405</v>
      </c>
      <c r="P4" s="28">
        <v>0.075816</v>
      </c>
      <c r="Q4" s="29">
        <v>6.82344</v>
      </c>
      <c r="R4" s="28" t="s">
        <v>26</v>
      </c>
      <c r="S4" s="28"/>
    </row>
    <row r="5" s="4" customFormat="1" customHeight="1" spans="1:22">
      <c r="A5" s="25" t="s">
        <v>27</v>
      </c>
      <c r="B5" s="30" t="s">
        <v>23</v>
      </c>
      <c r="C5" s="30" t="s">
        <v>24</v>
      </c>
      <c r="D5" s="4"/>
      <c r="E5" s="4"/>
      <c r="F5" s="31" t="s">
        <v>28</v>
      </c>
      <c r="G5" s="31">
        <v>8</v>
      </c>
      <c r="H5" s="31">
        <v>90</v>
      </c>
      <c r="I5" s="31">
        <v>12.8</v>
      </c>
      <c r="J5" s="31">
        <v>15</v>
      </c>
      <c r="K5" s="32">
        <v>1152</v>
      </c>
      <c r="L5" s="32">
        <v>1350</v>
      </c>
      <c r="M5" s="31">
        <v>0.52</v>
      </c>
      <c r="N5" s="31">
        <v>0.36</v>
      </c>
      <c r="O5" s="31">
        <v>0.405</v>
      </c>
      <c r="P5" s="32">
        <v>0.075816</v>
      </c>
      <c r="Q5" s="33">
        <v>6.82344</v>
      </c>
      <c r="R5" s="32" t="s">
        <v>26</v>
      </c>
      <c r="S5" s="32"/>
    </row>
    <row r="6" s="4" customFormat="1" customHeight="1" spans="1:22">
      <c r="A6" s="25" t="s">
        <v>29</v>
      </c>
      <c r="B6" s="30" t="s">
        <v>23</v>
      </c>
      <c r="C6" s="30" t="s">
        <v>24</v>
      </c>
      <c r="D6" s="4"/>
      <c r="E6" s="4"/>
      <c r="F6" s="31" t="s">
        <v>30</v>
      </c>
      <c r="G6" s="31">
        <v>8</v>
      </c>
      <c r="H6" s="31">
        <v>38</v>
      </c>
      <c r="I6" s="31">
        <v>12.8</v>
      </c>
      <c r="J6" s="31">
        <v>15</v>
      </c>
      <c r="K6" s="32">
        <v>486.4</v>
      </c>
      <c r="L6" s="32">
        <v>570</v>
      </c>
      <c r="M6" s="31">
        <v>0.52</v>
      </c>
      <c r="N6" s="31">
        <v>0.36</v>
      </c>
      <c r="O6" s="31">
        <v>0.405</v>
      </c>
      <c r="P6" s="32">
        <v>0.075816</v>
      </c>
      <c r="Q6" s="33">
        <v>2.881008</v>
      </c>
      <c r="R6" s="32" t="s">
        <v>26</v>
      </c>
      <c r="S6" s="32"/>
    </row>
    <row r="7" s="4" customFormat="1" customHeight="1" spans="1:22">
      <c r="A7" s="25" t="s">
        <v>31</v>
      </c>
      <c r="B7" s="30" t="s">
        <v>23</v>
      </c>
      <c r="C7" s="30" t="s">
        <v>24</v>
      </c>
      <c r="D7" s="4"/>
      <c r="E7" s="4"/>
      <c r="F7" s="34" t="s">
        <v>32</v>
      </c>
      <c r="G7" s="31">
        <v>8</v>
      </c>
      <c r="H7" s="31">
        <v>38</v>
      </c>
      <c r="I7" s="31">
        <v>12.8</v>
      </c>
      <c r="J7" s="31">
        <v>15</v>
      </c>
      <c r="K7" s="32">
        <v>486.4</v>
      </c>
      <c r="L7" s="32">
        <v>570</v>
      </c>
      <c r="M7" s="31">
        <v>0.52</v>
      </c>
      <c r="N7" s="31">
        <v>0.36</v>
      </c>
      <c r="O7" s="31">
        <v>0.405</v>
      </c>
      <c r="P7" s="32">
        <v>0.075816</v>
      </c>
      <c r="Q7" s="33">
        <v>2.881008</v>
      </c>
      <c r="R7" s="32" t="s">
        <v>26</v>
      </c>
      <c r="S7" s="32"/>
    </row>
    <row r="8" s="4" customFormat="1" customHeight="1" spans="1:22">
      <c r="A8" s="25" t="s">
        <v>33</v>
      </c>
      <c r="B8" s="35" t="s">
        <v>34</v>
      </c>
      <c r="C8" s="35" t="s">
        <v>35</v>
      </c>
      <c r="D8" s="4"/>
      <c r="E8" s="4"/>
      <c r="F8" s="36" t="s">
        <v>36</v>
      </c>
      <c r="G8" s="37">
        <v>500</v>
      </c>
      <c r="H8" s="37">
        <v>2</v>
      </c>
      <c r="I8" s="37">
        <v>11.5</v>
      </c>
      <c r="J8" s="37">
        <v>12</v>
      </c>
      <c r="K8" s="36">
        <f t="shared" ref="K8:K24" si="0">J8*G8</f>
        <v>6000</v>
      </c>
      <c r="L8" s="36">
        <v>24</v>
      </c>
      <c r="M8" s="37">
        <v>0.48</v>
      </c>
      <c r="N8" s="37">
        <v>0.32</v>
      </c>
      <c r="O8" s="37">
        <v>0.17</v>
      </c>
      <c r="P8" s="36">
        <f t="shared" ref="P8:P24" si="1">M8*N8*O8</f>
        <v>0.026112</v>
      </c>
      <c r="Q8" s="38">
        <v>0.052224</v>
      </c>
      <c r="R8" s="36" t="s">
        <v>37</v>
      </c>
      <c r="S8" s="36"/>
    </row>
    <row r="9" s="4" customFormat="1" customHeight="1" spans="1:22">
      <c r="A9" s="25" t="s">
        <v>38</v>
      </c>
      <c r="B9" s="35" t="s">
        <v>39</v>
      </c>
      <c r="C9" s="35" t="s">
        <v>40</v>
      </c>
      <c r="D9" s="4"/>
      <c r="E9" s="4"/>
      <c r="F9" s="39" t="s">
        <v>41</v>
      </c>
      <c r="G9" s="37">
        <v>100</v>
      </c>
      <c r="H9" s="37">
        <v>4</v>
      </c>
      <c r="I9" s="37">
        <v>10</v>
      </c>
      <c r="J9" s="37">
        <v>10.5</v>
      </c>
      <c r="K9" s="36">
        <f t="shared" si="0"/>
        <v>1050</v>
      </c>
      <c r="L9" s="36">
        <v>42</v>
      </c>
      <c r="M9" s="37">
        <v>0.7</v>
      </c>
      <c r="N9" s="37">
        <v>0.4</v>
      </c>
      <c r="O9" s="37">
        <v>0.45</v>
      </c>
      <c r="P9" s="36">
        <f t="shared" si="1"/>
        <v>0.126</v>
      </c>
      <c r="Q9" s="38">
        <v>0.504</v>
      </c>
      <c r="R9" s="36" t="s">
        <v>42</v>
      </c>
      <c r="S9" s="36"/>
    </row>
    <row r="10" s="4" customFormat="1" customHeight="1" spans="1:22">
      <c r="A10" s="25" t="s">
        <v>43</v>
      </c>
      <c r="B10" s="37" t="s">
        <v>44</v>
      </c>
      <c r="C10" s="35" t="s">
        <v>45</v>
      </c>
      <c r="D10" s="4"/>
      <c r="E10" s="4"/>
      <c r="F10" s="40" t="s">
        <v>46</v>
      </c>
      <c r="G10" s="37">
        <v>50</v>
      </c>
      <c r="H10" s="37">
        <v>10</v>
      </c>
      <c r="I10" s="37">
        <v>9.5</v>
      </c>
      <c r="J10" s="37">
        <v>10.5</v>
      </c>
      <c r="K10" s="36">
        <f t="shared" si="0"/>
        <v>525</v>
      </c>
      <c r="L10" s="36">
        <v>105</v>
      </c>
      <c r="M10" s="37">
        <v>0.62</v>
      </c>
      <c r="N10" s="37">
        <v>0.255</v>
      </c>
      <c r="O10" s="37">
        <v>0.235</v>
      </c>
      <c r="P10" s="36">
        <f t="shared" si="1"/>
        <v>0.0371535</v>
      </c>
      <c r="Q10" s="38">
        <v>0.371535</v>
      </c>
      <c r="R10" s="41" t="s">
        <v>47</v>
      </c>
      <c r="S10" s="36"/>
    </row>
    <row r="11" s="4" customFormat="1" customHeight="1" spans="1:22">
      <c r="A11" s="25" t="s">
        <v>48</v>
      </c>
      <c r="B11" s="37" t="s">
        <v>49</v>
      </c>
      <c r="C11" s="35" t="s">
        <v>50</v>
      </c>
      <c r="D11" s="4"/>
      <c r="E11" s="4"/>
      <c r="F11" s="41" t="s">
        <v>51</v>
      </c>
      <c r="G11" s="37">
        <v>20</v>
      </c>
      <c r="H11" s="37">
        <v>36</v>
      </c>
      <c r="I11" s="37">
        <v>18</v>
      </c>
      <c r="J11" s="37">
        <v>19</v>
      </c>
      <c r="K11" s="36">
        <f t="shared" si="0"/>
        <v>380</v>
      </c>
      <c r="L11" s="36">
        <v>684</v>
      </c>
      <c r="M11" s="37">
        <v>0.54</v>
      </c>
      <c r="N11" s="37">
        <v>0.3</v>
      </c>
      <c r="O11" s="37">
        <v>0.5</v>
      </c>
      <c r="P11" s="36">
        <f t="shared" si="1"/>
        <v>0.081</v>
      </c>
      <c r="Q11" s="38">
        <v>2.916</v>
      </c>
      <c r="R11" s="41" t="s">
        <v>52</v>
      </c>
      <c r="S11" s="36"/>
    </row>
    <row r="12" s="4" customFormat="1" customHeight="1" spans="1:22">
      <c r="A12" s="25" t="s">
        <v>53</v>
      </c>
      <c r="B12" s="37" t="s">
        <v>49</v>
      </c>
      <c r="C12" s="35" t="s">
        <v>50</v>
      </c>
      <c r="D12" s="4"/>
      <c r="E12" s="4"/>
      <c r="F12" s="41" t="s">
        <v>54</v>
      </c>
      <c r="G12" s="37">
        <v>20</v>
      </c>
      <c r="H12" s="37">
        <v>30</v>
      </c>
      <c r="I12" s="37">
        <v>18</v>
      </c>
      <c r="J12" s="37">
        <v>19</v>
      </c>
      <c r="K12" s="36">
        <f t="shared" si="0"/>
        <v>380</v>
      </c>
      <c r="L12" s="36">
        <v>570</v>
      </c>
      <c r="M12" s="37">
        <v>0.54</v>
      </c>
      <c r="N12" s="37">
        <v>0.3</v>
      </c>
      <c r="O12" s="37">
        <v>0.5</v>
      </c>
      <c r="P12" s="36">
        <f t="shared" si="1"/>
        <v>0.081</v>
      </c>
      <c r="Q12" s="38">
        <v>2.43</v>
      </c>
      <c r="R12" s="41" t="s">
        <v>52</v>
      </c>
      <c r="S12" s="36"/>
    </row>
    <row r="13" s="4" customFormat="1" customHeight="1" spans="1:22">
      <c r="A13" s="25" t="s">
        <v>55</v>
      </c>
      <c r="B13" s="37" t="s">
        <v>56</v>
      </c>
      <c r="C13" s="35" t="s">
        <v>57</v>
      </c>
      <c r="D13" s="4"/>
      <c r="E13" s="4"/>
      <c r="F13" s="37" t="s">
        <v>58</v>
      </c>
      <c r="G13" s="37">
        <v>200</v>
      </c>
      <c r="H13" s="37">
        <v>2</v>
      </c>
      <c r="I13" s="37">
        <v>13.6</v>
      </c>
      <c r="J13" s="37">
        <v>14.4</v>
      </c>
      <c r="K13" s="36">
        <f t="shared" si="0"/>
        <v>2880</v>
      </c>
      <c r="L13" s="36">
        <v>28.8</v>
      </c>
      <c r="M13" s="37">
        <v>0.37</v>
      </c>
      <c r="N13" s="37">
        <v>0.35</v>
      </c>
      <c r="O13" s="37">
        <v>0.39</v>
      </c>
      <c r="P13" s="36">
        <f t="shared" si="1"/>
        <v>0.050505</v>
      </c>
      <c r="Q13" s="38">
        <v>0.10101</v>
      </c>
      <c r="R13" s="37" t="s">
        <v>59</v>
      </c>
      <c r="S13" s="36"/>
    </row>
    <row r="14" s="4" customFormat="1" customHeight="1" spans="1:22">
      <c r="A14" s="25" t="s">
        <v>60</v>
      </c>
      <c r="B14" s="37" t="s">
        <v>61</v>
      </c>
      <c r="C14" s="35" t="s">
        <v>57</v>
      </c>
      <c r="D14" s="4"/>
      <c r="E14" s="4"/>
      <c r="F14" s="37" t="s">
        <v>41</v>
      </c>
      <c r="G14" s="37">
        <v>200</v>
      </c>
      <c r="H14" s="37">
        <v>2</v>
      </c>
      <c r="I14" s="37">
        <v>13.6</v>
      </c>
      <c r="J14" s="37">
        <v>14.4</v>
      </c>
      <c r="K14" s="36">
        <f t="shared" si="0"/>
        <v>2880</v>
      </c>
      <c r="L14" s="36">
        <v>28.8</v>
      </c>
      <c r="M14" s="37">
        <v>0.37</v>
      </c>
      <c r="N14" s="37">
        <v>0.35</v>
      </c>
      <c r="O14" s="37">
        <v>0.39</v>
      </c>
      <c r="P14" s="36">
        <f t="shared" si="1"/>
        <v>0.050505</v>
      </c>
      <c r="Q14" s="38">
        <v>0.10101</v>
      </c>
      <c r="R14" s="37" t="s">
        <v>59</v>
      </c>
      <c r="S14" s="36"/>
    </row>
    <row r="15" s="4" customFormat="1" customHeight="1" spans="1:22">
      <c r="A15" s="25" t="s">
        <v>62</v>
      </c>
      <c r="B15" s="37" t="s">
        <v>63</v>
      </c>
      <c r="C15" s="35" t="s">
        <v>64</v>
      </c>
      <c r="D15" s="4"/>
      <c r="E15" s="4"/>
      <c r="F15" s="37" t="s">
        <v>58</v>
      </c>
      <c r="G15" s="37">
        <v>200</v>
      </c>
      <c r="H15" s="37">
        <v>2</v>
      </c>
      <c r="I15" s="37">
        <v>9</v>
      </c>
      <c r="J15" s="37">
        <v>9.3</v>
      </c>
      <c r="K15" s="36">
        <f t="shared" si="0"/>
        <v>1860</v>
      </c>
      <c r="L15" s="36">
        <v>18.6</v>
      </c>
      <c r="M15" s="37">
        <v>0.37</v>
      </c>
      <c r="N15" s="37">
        <v>0.35</v>
      </c>
      <c r="O15" s="37">
        <v>0.39</v>
      </c>
      <c r="P15" s="36">
        <f t="shared" si="1"/>
        <v>0.050505</v>
      </c>
      <c r="Q15" s="38">
        <v>0.10101</v>
      </c>
      <c r="R15" s="37" t="s">
        <v>59</v>
      </c>
      <c r="S15" s="36"/>
    </row>
    <row r="16" s="4" customFormat="1" customHeight="1" spans="1:22">
      <c r="A16" s="25" t="s">
        <v>65</v>
      </c>
      <c r="B16" s="37" t="s">
        <v>66</v>
      </c>
      <c r="C16" s="35" t="s">
        <v>64</v>
      </c>
      <c r="D16" s="4"/>
      <c r="E16" s="4"/>
      <c r="F16" s="42" t="s">
        <v>41</v>
      </c>
      <c r="G16" s="37">
        <v>200</v>
      </c>
      <c r="H16" s="37">
        <v>2</v>
      </c>
      <c r="I16" s="37">
        <v>9</v>
      </c>
      <c r="J16" s="37">
        <v>9.3</v>
      </c>
      <c r="K16" s="36">
        <f t="shared" si="0"/>
        <v>1860</v>
      </c>
      <c r="L16" s="36">
        <v>18.6</v>
      </c>
      <c r="M16" s="37">
        <v>0.37</v>
      </c>
      <c r="N16" s="37">
        <v>0.35</v>
      </c>
      <c r="O16" s="37">
        <v>0.39</v>
      </c>
      <c r="P16" s="36">
        <f t="shared" si="1"/>
        <v>0.050505</v>
      </c>
      <c r="Q16" s="38">
        <v>0.10101</v>
      </c>
      <c r="R16" s="37" t="s">
        <v>59</v>
      </c>
      <c r="S16" s="36"/>
    </row>
    <row r="17" s="4" customFormat="1" customHeight="1" spans="1:19">
      <c r="A17" s="25" t="s">
        <v>67</v>
      </c>
      <c r="B17" s="37" t="s">
        <v>68</v>
      </c>
      <c r="C17" s="35" t="s">
        <v>69</v>
      </c>
      <c r="D17" s="4"/>
      <c r="E17" s="4"/>
      <c r="F17" s="41" t="s">
        <v>70</v>
      </c>
      <c r="G17" s="37">
        <v>20</v>
      </c>
      <c r="H17" s="37">
        <v>36</v>
      </c>
      <c r="I17" s="37">
        <v>19</v>
      </c>
      <c r="J17" s="37">
        <v>20</v>
      </c>
      <c r="K17" s="36">
        <f t="shared" si="0"/>
        <v>400</v>
      </c>
      <c r="L17" s="36">
        <v>720</v>
      </c>
      <c r="M17" s="37">
        <v>0.58</v>
      </c>
      <c r="N17" s="37">
        <v>0.465</v>
      </c>
      <c r="O17" s="37">
        <v>0.305</v>
      </c>
      <c r="P17" s="37">
        <f t="shared" si="1"/>
        <v>0.0822585</v>
      </c>
      <c r="Q17" s="38">
        <v>2.961306</v>
      </c>
      <c r="R17" s="37" t="s">
        <v>71</v>
      </c>
      <c r="S17" s="43"/>
    </row>
    <row r="18" s="4" customFormat="1" customHeight="1" spans="1:19">
      <c r="A18" s="25" t="s">
        <v>72</v>
      </c>
      <c r="B18" s="37" t="s">
        <v>73</v>
      </c>
      <c r="C18" s="35" t="s">
        <v>74</v>
      </c>
      <c r="D18" s="4"/>
      <c r="E18" s="4"/>
      <c r="F18" s="41" t="s">
        <v>70</v>
      </c>
      <c r="G18" s="37">
        <v>10</v>
      </c>
      <c r="H18" s="37">
        <v>60</v>
      </c>
      <c r="I18" s="37">
        <v>10</v>
      </c>
      <c r="J18" s="37">
        <v>11</v>
      </c>
      <c r="K18" s="36">
        <f t="shared" si="0"/>
        <v>110</v>
      </c>
      <c r="L18" s="36">
        <v>660</v>
      </c>
      <c r="M18" s="37">
        <v>0.31</v>
      </c>
      <c r="N18" s="37">
        <v>0.31</v>
      </c>
      <c r="O18" s="37">
        <v>0.52</v>
      </c>
      <c r="P18" s="37">
        <f t="shared" si="1"/>
        <v>0.049972</v>
      </c>
      <c r="Q18" s="38">
        <v>2.99832</v>
      </c>
      <c r="R18" s="37" t="s">
        <v>71</v>
      </c>
      <c r="S18" s="43"/>
    </row>
    <row r="19" s="4" customFormat="1" customHeight="1" spans="1:19">
      <c r="A19" s="25" t="s">
        <v>75</v>
      </c>
      <c r="B19" s="37" t="s">
        <v>76</v>
      </c>
      <c r="C19" s="35" t="s">
        <v>77</v>
      </c>
      <c r="D19" s="4"/>
      <c r="E19" s="4"/>
      <c r="F19" s="37" t="s">
        <v>78</v>
      </c>
      <c r="G19" s="37">
        <v>6</v>
      </c>
      <c r="H19" s="37">
        <v>100</v>
      </c>
      <c r="I19" s="37">
        <v>14.5</v>
      </c>
      <c r="J19" s="37">
        <v>15.1</v>
      </c>
      <c r="K19" s="36">
        <f t="shared" si="0"/>
        <v>90.6</v>
      </c>
      <c r="L19" s="36">
        <v>1510</v>
      </c>
      <c r="M19" s="37">
        <v>0.458</v>
      </c>
      <c r="N19" s="37">
        <v>0.325</v>
      </c>
      <c r="O19" s="37">
        <v>0.61</v>
      </c>
      <c r="P19" s="37">
        <f t="shared" si="1"/>
        <v>0.0907985</v>
      </c>
      <c r="Q19" s="38">
        <v>9.07985</v>
      </c>
      <c r="R19" s="41" t="s">
        <v>79</v>
      </c>
      <c r="S19" s="43"/>
    </row>
    <row r="20" s="4" customFormat="1" customHeight="1" spans="1:19">
      <c r="A20" s="25" t="s">
        <v>80</v>
      </c>
      <c r="B20" s="37" t="s">
        <v>81</v>
      </c>
      <c r="C20" s="35" t="s">
        <v>82</v>
      </c>
      <c r="D20" s="4"/>
      <c r="E20" s="4"/>
      <c r="F20" s="37" t="s">
        <v>54</v>
      </c>
      <c r="G20" s="37">
        <v>6</v>
      </c>
      <c r="H20" s="37">
        <v>100</v>
      </c>
      <c r="I20" s="37">
        <v>14.5</v>
      </c>
      <c r="J20" s="37">
        <v>15.1</v>
      </c>
      <c r="K20" s="36">
        <f t="shared" si="0"/>
        <v>90.6</v>
      </c>
      <c r="L20" s="36">
        <v>1510</v>
      </c>
      <c r="M20" s="37">
        <v>0.458</v>
      </c>
      <c r="N20" s="37">
        <v>0.325</v>
      </c>
      <c r="O20" s="37">
        <v>0.61</v>
      </c>
      <c r="P20" s="37">
        <f t="shared" si="1"/>
        <v>0.0907985</v>
      </c>
      <c r="Q20" s="38">
        <v>9.07985</v>
      </c>
      <c r="R20" s="41" t="s">
        <v>79</v>
      </c>
      <c r="S20" s="43"/>
    </row>
    <row r="21" s="4" customFormat="1" customHeight="1" spans="1:19">
      <c r="A21" s="25" t="s">
        <v>83</v>
      </c>
      <c r="B21" s="37" t="s">
        <v>84</v>
      </c>
      <c r="C21" s="35" t="s">
        <v>85</v>
      </c>
      <c r="D21" s="4"/>
      <c r="E21" s="4"/>
      <c r="F21" s="37" t="s">
        <v>84</v>
      </c>
      <c r="G21" s="37">
        <v>6</v>
      </c>
      <c r="H21" s="37">
        <v>40</v>
      </c>
      <c r="I21" s="37">
        <v>17</v>
      </c>
      <c r="J21" s="37">
        <v>17.68</v>
      </c>
      <c r="K21" s="36">
        <f t="shared" si="0"/>
        <v>106.08</v>
      </c>
      <c r="L21" s="36">
        <v>707.2</v>
      </c>
      <c r="M21" s="37">
        <v>0.56</v>
      </c>
      <c r="N21" s="37">
        <v>0.355</v>
      </c>
      <c r="O21" s="37">
        <v>0.615</v>
      </c>
      <c r="P21" s="37">
        <f t="shared" si="1"/>
        <v>0.122262</v>
      </c>
      <c r="Q21" s="38">
        <v>4.89048</v>
      </c>
      <c r="R21" s="41" t="s">
        <v>79</v>
      </c>
      <c r="S21" s="43"/>
    </row>
    <row r="22" s="4" customFormat="1" customHeight="1" spans="1:19">
      <c r="A22" s="25" t="s">
        <v>86</v>
      </c>
      <c r="B22" s="37" t="s">
        <v>87</v>
      </c>
      <c r="C22" s="35" t="s">
        <v>88</v>
      </c>
      <c r="D22" s="4"/>
      <c r="E22" s="4"/>
      <c r="F22" s="37" t="s">
        <v>87</v>
      </c>
      <c r="G22" s="37">
        <v>6</v>
      </c>
      <c r="H22" s="37">
        <v>40</v>
      </c>
      <c r="I22" s="37">
        <v>17</v>
      </c>
      <c r="J22" s="37">
        <v>17.68</v>
      </c>
      <c r="K22" s="36">
        <f t="shared" si="0"/>
        <v>106.08</v>
      </c>
      <c r="L22" s="36">
        <v>707.2</v>
      </c>
      <c r="M22" s="37">
        <v>0.56</v>
      </c>
      <c r="N22" s="37">
        <v>0.355</v>
      </c>
      <c r="O22" s="37">
        <v>0.615</v>
      </c>
      <c r="P22" s="37">
        <f t="shared" si="1"/>
        <v>0.122262</v>
      </c>
      <c r="Q22" s="38">
        <v>4.89048</v>
      </c>
      <c r="R22" s="41" t="s">
        <v>79</v>
      </c>
      <c r="S22" s="43"/>
    </row>
    <row r="23" s="4" customFormat="1" customHeight="1" spans="1:19">
      <c r="A23" s="25" t="s">
        <v>89</v>
      </c>
      <c r="B23" s="37" t="s">
        <v>90</v>
      </c>
      <c r="C23" s="35" t="s">
        <v>91</v>
      </c>
      <c r="D23" s="4"/>
      <c r="E23" s="4"/>
      <c r="F23" s="37" t="s">
        <v>90</v>
      </c>
      <c r="G23" s="37">
        <v>6</v>
      </c>
      <c r="H23" s="37">
        <v>40</v>
      </c>
      <c r="I23" s="37">
        <v>17</v>
      </c>
      <c r="J23" s="37">
        <v>17.68</v>
      </c>
      <c r="K23" s="36">
        <f t="shared" si="0"/>
        <v>106.08</v>
      </c>
      <c r="L23" s="36">
        <v>707.2</v>
      </c>
      <c r="M23" s="37">
        <v>0.56</v>
      </c>
      <c r="N23" s="37">
        <v>0.355</v>
      </c>
      <c r="O23" s="37">
        <v>0.615</v>
      </c>
      <c r="P23" s="37">
        <f t="shared" si="1"/>
        <v>0.122262</v>
      </c>
      <c r="Q23" s="38">
        <v>4.89048</v>
      </c>
      <c r="R23" s="41" t="s">
        <v>79</v>
      </c>
      <c r="S23" s="43"/>
    </row>
    <row r="24" s="4" customFormat="1" customHeight="1" spans="1:19">
      <c r="A24" s="25" t="s">
        <v>92</v>
      </c>
      <c r="B24" s="37" t="s">
        <v>93</v>
      </c>
      <c r="C24" s="35" t="s">
        <v>94</v>
      </c>
      <c r="D24" s="4"/>
      <c r="E24" s="4"/>
      <c r="F24" s="37" t="s">
        <v>93</v>
      </c>
      <c r="G24" s="37">
        <v>6</v>
      </c>
      <c r="H24" s="37">
        <v>40</v>
      </c>
      <c r="I24" s="37">
        <v>17</v>
      </c>
      <c r="J24" s="37">
        <v>17.68</v>
      </c>
      <c r="K24" s="36">
        <f t="shared" si="0"/>
        <v>106.08</v>
      </c>
      <c r="L24" s="36">
        <v>707.2</v>
      </c>
      <c r="M24" s="37">
        <v>0.56</v>
      </c>
      <c r="N24" s="37">
        <v>0.355</v>
      </c>
      <c r="O24" s="37">
        <v>0.615</v>
      </c>
      <c r="P24" s="37">
        <f t="shared" si="1"/>
        <v>0.122262</v>
      </c>
      <c r="Q24" s="38">
        <v>4.89048</v>
      </c>
      <c r="R24" s="41" t="s">
        <v>79</v>
      </c>
      <c r="S24" s="43"/>
    </row>
    <row r="25" s="4" customFormat="1" customHeight="1" spans="1:19">
      <c r="A25" s="25" t="s">
        <v>95</v>
      </c>
      <c r="B25" s="37" t="s">
        <v>96</v>
      </c>
      <c r="C25" s="35" t="s">
        <v>97</v>
      </c>
      <c r="D25" s="4"/>
      <c r="E25" s="4"/>
      <c r="F25" s="41" t="s">
        <v>98</v>
      </c>
      <c r="G25" s="37">
        <v>100</v>
      </c>
      <c r="H25" s="37">
        <v>3</v>
      </c>
      <c r="I25" s="44"/>
      <c r="J25" s="37"/>
      <c r="K25" s="36"/>
      <c r="L25" s="36"/>
      <c r="M25" s="37" t="s">
        <v>99</v>
      </c>
      <c r="N25" s="37"/>
      <c r="O25" s="37"/>
      <c r="P25" s="37"/>
      <c r="Q25" s="38">
        <v>0</v>
      </c>
      <c r="R25" s="41" t="s">
        <v>100</v>
      </c>
      <c r="S25" s="43"/>
    </row>
    <row r="26" s="4" customFormat="1" customHeight="1" spans="1:19">
      <c r="A26" s="25" t="s">
        <v>101</v>
      </c>
      <c r="B26" s="37" t="s">
        <v>102</v>
      </c>
      <c r="C26" s="35" t="s">
        <v>103</v>
      </c>
      <c r="D26" s="4"/>
      <c r="E26" s="4"/>
      <c r="F26" s="41" t="s">
        <v>98</v>
      </c>
      <c r="G26" s="37">
        <v>50</v>
      </c>
      <c r="H26" s="37">
        <v>5</v>
      </c>
      <c r="I26" s="37">
        <v>15</v>
      </c>
      <c r="J26" s="37">
        <v>15.5</v>
      </c>
      <c r="K26" s="36">
        <f>J26*G26</f>
        <v>775</v>
      </c>
      <c r="L26" s="36">
        <v>77.5</v>
      </c>
      <c r="M26" s="37">
        <v>0.458</v>
      </c>
      <c r="N26" s="37">
        <v>0.325</v>
      </c>
      <c r="O26" s="37">
        <v>0.55</v>
      </c>
      <c r="P26" s="37">
        <f>M26*N26*O26</f>
        <v>0.0818675</v>
      </c>
      <c r="Q26" s="38">
        <v>0.4093375</v>
      </c>
      <c r="R26" s="41" t="s">
        <v>79</v>
      </c>
      <c r="S26" s="43"/>
    </row>
    <row r="27" s="4" customFormat="1" customHeight="1" spans="1:19">
      <c r="A27" s="25" t="s">
        <v>104</v>
      </c>
      <c r="B27" s="37" t="s">
        <v>105</v>
      </c>
      <c r="C27" s="35" t="s">
        <v>106</v>
      </c>
      <c r="D27" s="4"/>
      <c r="E27" s="4"/>
      <c r="F27" s="41" t="s">
        <v>98</v>
      </c>
      <c r="G27" s="37">
        <v>75</v>
      </c>
      <c r="H27" s="37">
        <v>4</v>
      </c>
      <c r="I27" s="37">
        <v>5.25</v>
      </c>
      <c r="J27" s="37">
        <v>5.75</v>
      </c>
      <c r="K27" s="36">
        <f>J27*G27</f>
        <v>431.25</v>
      </c>
      <c r="L27" s="36">
        <v>23</v>
      </c>
      <c r="M27" s="37">
        <v>0.312</v>
      </c>
      <c r="N27" s="37">
        <v>0.236</v>
      </c>
      <c r="O27" s="37">
        <v>0.23</v>
      </c>
      <c r="P27" s="37">
        <f>M27*N27*O27</f>
        <v>0.01693536</v>
      </c>
      <c r="Q27" s="38">
        <v>0.06774144</v>
      </c>
      <c r="R27" s="41" t="s">
        <v>107</v>
      </c>
      <c r="S27" s="43"/>
    </row>
    <row r="28" s="5" customFormat="1" customHeight="1" spans="1:19">
      <c r="A28" s="45"/>
      <c r="B28" s="5"/>
      <c r="C28" s="5"/>
      <c r="D28" s="5"/>
      <c r="E28" s="5"/>
      <c r="F28" s="5"/>
      <c r="G28" s="46"/>
      <c r="H28" s="46"/>
      <c r="I28" s="46"/>
      <c r="J28" s="46"/>
      <c r="K28" s="47"/>
      <c r="L28" s="47"/>
      <c r="M28" s="46"/>
      <c r="N28" s="46"/>
      <c r="O28" s="46"/>
      <c r="P28" s="47"/>
      <c r="Q28" s="47"/>
    </row>
    <row r="29" s="5" customFormat="1" customHeight="1" spans="1:19">
      <c r="A29" s="45"/>
      <c r="B29" s="5"/>
      <c r="C29" s="5"/>
      <c r="D29" s="5"/>
      <c r="E29" s="5"/>
      <c r="F29" s="5"/>
      <c r="G29" s="46"/>
      <c r="H29" s="46"/>
      <c r="I29" s="46"/>
      <c r="J29" s="46"/>
      <c r="K29" s="47"/>
      <c r="L29" s="47"/>
      <c r="M29" s="46"/>
      <c r="N29" s="46"/>
      <c r="O29" s="46"/>
      <c r="P29" s="47"/>
      <c r="Q29" s="47"/>
    </row>
    <row r="30" s="5" customFormat="1" customHeight="1" spans="1:19">
      <c r="A30" s="45"/>
      <c r="B30" s="5"/>
      <c r="C30" s="5"/>
      <c r="D30" s="5"/>
      <c r="E30" s="5"/>
      <c r="F30" s="5"/>
      <c r="G30" s="46"/>
      <c r="H30" s="46"/>
      <c r="I30" s="46"/>
      <c r="J30" s="46"/>
      <c r="K30" s="47"/>
      <c r="L30" s="47"/>
      <c r="M30" s="46"/>
      <c r="N30" s="46"/>
      <c r="O30" s="46"/>
      <c r="P30" s="47"/>
      <c r="Q30" s="47"/>
    </row>
    <row r="31" s="5" customFormat="1" customHeight="1" spans="1:19">
      <c r="A31" s="45"/>
      <c r="B31" s="5"/>
      <c r="C31" s="5"/>
      <c r="D31" s="5"/>
      <c r="E31" s="5"/>
      <c r="F31" s="5"/>
      <c r="G31" s="46"/>
      <c r="H31" s="46"/>
      <c r="I31" s="46"/>
      <c r="J31" s="46"/>
      <c r="K31" s="47"/>
      <c r="L31" s="47"/>
      <c r="M31" s="46"/>
      <c r="N31" s="46"/>
      <c r="O31" s="46"/>
      <c r="P31" s="47"/>
      <c r="Q31" s="47"/>
    </row>
    <row r="32" s="5" customFormat="1" customHeight="1" spans="1:19">
      <c r="A32" s="45"/>
      <c r="B32" s="5"/>
      <c r="C32" s="5"/>
      <c r="D32" s="5"/>
      <c r="E32" s="5"/>
      <c r="F32" s="5"/>
      <c r="G32" s="46"/>
      <c r="H32" s="46"/>
      <c r="I32" s="46"/>
      <c r="J32" s="46"/>
      <c r="K32" s="47"/>
      <c r="L32" s="47"/>
      <c r="M32" s="46"/>
      <c r="N32" s="46"/>
      <c r="O32" s="46"/>
      <c r="P32" s="47"/>
      <c r="Q32" s="47"/>
    </row>
    <row r="33" s="5" customFormat="1" customHeight="1" spans="1:17">
      <c r="A33" s="45"/>
      <c r="B33" s="5"/>
      <c r="C33" s="5"/>
      <c r="D33" s="5"/>
      <c r="E33" s="5"/>
      <c r="F33" s="5"/>
      <c r="G33" s="46"/>
      <c r="H33" s="46"/>
      <c r="I33" s="46"/>
      <c r="J33" s="46"/>
      <c r="K33" s="47"/>
      <c r="L33" s="47"/>
      <c r="M33" s="46"/>
      <c r="N33" s="46"/>
      <c r="O33" s="46"/>
      <c r="P33" s="47"/>
      <c r="Q33" s="47"/>
    </row>
    <row r="34" s="5" customFormat="1" customHeight="1" spans="1:17">
      <c r="A34" s="45"/>
      <c r="B34" s="5"/>
      <c r="C34" s="5"/>
      <c r="D34" s="5"/>
      <c r="E34" s="5"/>
      <c r="F34" s="5"/>
      <c r="G34" s="46"/>
      <c r="H34" s="46"/>
      <c r="I34" s="46"/>
      <c r="J34" s="46"/>
      <c r="K34" s="47"/>
      <c r="L34" s="47"/>
      <c r="M34" s="46"/>
      <c r="N34" s="46"/>
      <c r="O34" s="46"/>
      <c r="P34" s="47"/>
      <c r="Q34" s="47"/>
    </row>
    <row r="35" s="6" customFormat="1" customHeight="1" spans="1:17">
      <c r="A35" s="48"/>
      <c r="B35" s="6"/>
      <c r="C35" s="6"/>
      <c r="D35" s="6"/>
      <c r="E35" s="6"/>
      <c r="F35" s="6"/>
      <c r="G35" s="49"/>
      <c r="H35" s="49"/>
      <c r="I35" s="49"/>
      <c r="J35" s="49"/>
      <c r="K35" s="50"/>
      <c r="L35" s="50"/>
      <c r="M35" s="49"/>
      <c r="N35" s="49"/>
      <c r="O35" s="49"/>
      <c r="P35" s="50"/>
      <c r="Q35" s="50"/>
    </row>
    <row r="36" s="6" customFormat="1" customHeight="1" spans="1:17">
      <c r="A36" s="48"/>
      <c r="B36" s="6"/>
      <c r="C36" s="6"/>
      <c r="D36" s="6"/>
      <c r="E36" s="6"/>
      <c r="F36" s="6"/>
      <c r="G36" s="49"/>
      <c r="H36" s="49"/>
      <c r="I36" s="49"/>
      <c r="J36" s="49"/>
      <c r="K36" s="50"/>
      <c r="L36" s="50"/>
      <c r="M36" s="49"/>
      <c r="N36" s="49"/>
      <c r="O36" s="49"/>
      <c r="P36" s="50"/>
      <c r="Q36" s="50"/>
    </row>
  </sheetData>
  <sheetProtection formatCells="0" formatColumns="0" formatRows="0" insertRows="0" insertColumns="0" insertHyperlinks="0" deleteColumns="0" deleteRows="0" sort="0" autoFilter="0" pivotTables="0"/>
  <mergeCells count="4">
    <mergeCell ref="A1:V1"/>
    <mergeCell ref="A2:S2"/>
    <mergeCell ref="M3:O3"/>
    <mergeCell ref="M25:O25"/>
  </mergeCells>
  <dataValidations count="4">
    <dataValidation type="custom" allowBlank="1" showInputMessage="1" showErrorMessage="1" errorTitle="请只填入数字" error="请不要带单位填写！" promptTitle="请只输入数字" sqref="G28:G352">
      <formula1>ISNUMBER(G28)</formula1>
    </dataValidation>
    <dataValidation type="custom" allowBlank="1" showInputMessage="1" showErrorMessage="1" errorTitle="只填入数字" error="请不要带单位输入！" promptTitle="请只填入数字" sqref="J28:J352">
      <formula1>ISNUMBER(J28)</formula1>
    </dataValidation>
    <dataValidation type="custom" allowBlank="1" showInputMessage="1" showErrorMessage="1" errorTitle="只需要填入数字！" error="请不要带单位输入数据" promptTitle="请只填入数字" sqref="H28:I352">
      <formula1>ISNUMBER(H28)</formula1>
    </dataValidation>
    <dataValidation type="custom" allowBlank="1" showInputMessage="1" showErrorMessage="1" errorTitle="请只填入数字" error="请不要带单位输入！" promptTitle="请只填入数字" sqref="M28:O352">
      <formula1>ISNUMBER(M28)</formula1>
    </dataValidation>
  </dataValidations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董大妞</cp:lastModifiedBy>
  <dcterms:created xsi:type="dcterms:W3CDTF">2006-09-16T00:00:00Z</dcterms:created>
  <dcterms:modified xsi:type="dcterms:W3CDTF">2026-01-16T09:35:01Z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7E711F4701BF408581314F3E8D32C024_13</vt:lpwstr>
  </property>
  <property fmtid="{D5CDD505-2E9C-101B-9397-08002B2CF9AE}" pid="4" name="CalculationRule">
    <vt:i4>0</vt:i4>
  </property>
</Properties>
</file>